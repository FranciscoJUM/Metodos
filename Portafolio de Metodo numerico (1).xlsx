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defaultThemeVersion="166925"/>
  <xr:revisionPtr revIDLastSave="43" documentId="11_9248B46DC1CBB2E3ED7FF6F9903E8C1851038383" xr6:coauthVersionLast="47" xr6:coauthVersionMax="47" xr10:uidLastSave="{4E4B65A0-1B0D-4143-8E51-C8AEB3933F40}"/>
  <bookViews>
    <workbookView xWindow="240" yWindow="105" windowWidth="14805" windowHeight="8010" firstSheet="3" activeTab="2" xr2:uid="{00000000-000D-0000-FFFF-FFFF00000000}"/>
  </bookViews>
  <sheets>
    <sheet name="Regla falsa" sheetId="1" r:id="rId1"/>
    <sheet name="Biseccion" sheetId="2" r:id="rId2"/>
    <sheet name="Secante" sheetId="3" r:id="rId3"/>
    <sheet name="Mewton 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19" i="3"/>
  <c r="C29" i="3"/>
  <c r="E29" i="3"/>
  <c r="B29" i="3"/>
  <c r="B30" i="3"/>
  <c r="B31" i="3"/>
  <c r="B32" i="3"/>
  <c r="B33" i="3"/>
  <c r="B34" i="3"/>
  <c r="F28" i="3"/>
  <c r="E28" i="3"/>
  <c r="C19" i="3"/>
  <c r="E19" i="3"/>
  <c r="B19" i="3"/>
  <c r="B20" i="3"/>
  <c r="B21" i="3"/>
  <c r="B22" i="3"/>
  <c r="B23" i="3"/>
  <c r="F18" i="3"/>
  <c r="E18" i="3"/>
  <c r="F6" i="3"/>
  <c r="D6" i="3"/>
  <c r="E7" i="3"/>
  <c r="C7" i="3"/>
  <c r="G18" i="3"/>
  <c r="G28" i="3"/>
  <c r="D29" i="3"/>
  <c r="C30" i="3"/>
  <c r="E30" i="3"/>
  <c r="H29" i="3"/>
  <c r="F29" i="3"/>
  <c r="G29" i="3"/>
  <c r="D30" i="3"/>
  <c r="C20" i="3"/>
  <c r="E20" i="3"/>
  <c r="H19" i="3"/>
  <c r="F19" i="3"/>
  <c r="G19" i="3"/>
  <c r="D20" i="3"/>
  <c r="G7" i="3"/>
  <c r="D7" i="3"/>
  <c r="E8" i="3"/>
  <c r="F7" i="3"/>
  <c r="C8" i="3"/>
  <c r="C21" i="3"/>
  <c r="E21" i="3"/>
  <c r="H20" i="3"/>
  <c r="F20" i="3"/>
  <c r="G20" i="3"/>
  <c r="D21" i="3"/>
  <c r="C31" i="3"/>
  <c r="E31" i="3"/>
  <c r="H30" i="3"/>
  <c r="F30" i="3"/>
  <c r="G30" i="3"/>
  <c r="D31" i="3"/>
  <c r="C32" i="3"/>
  <c r="E32" i="3"/>
  <c r="H31" i="3"/>
  <c r="F31" i="3"/>
  <c r="G31" i="3"/>
  <c r="D32" i="3"/>
  <c r="C22" i="3"/>
  <c r="H21" i="3"/>
  <c r="F21" i="3"/>
  <c r="G21" i="3"/>
  <c r="D22" i="3"/>
  <c r="D8" i="3"/>
  <c r="G8" i="3"/>
  <c r="E9" i="3"/>
  <c r="F8" i="3"/>
  <c r="C9" i="3"/>
  <c r="C23" i="3"/>
  <c r="E23" i="3"/>
  <c r="H22" i="3"/>
  <c r="F22" i="3"/>
  <c r="G22" i="3"/>
  <c r="D23" i="3"/>
  <c r="C33" i="3"/>
  <c r="E33" i="3"/>
  <c r="H32" i="3"/>
  <c r="F32" i="3"/>
  <c r="G32" i="3"/>
  <c r="D33" i="3"/>
  <c r="C34" i="3"/>
  <c r="E34" i="3"/>
  <c r="H33" i="3"/>
  <c r="F33" i="3"/>
  <c r="G33" i="3"/>
  <c r="D34" i="3"/>
  <c r="H23" i="3"/>
  <c r="F23" i="3"/>
  <c r="G23" i="3"/>
  <c r="D9" i="3"/>
  <c r="G9" i="3"/>
  <c r="E10" i="3"/>
  <c r="F9" i="3"/>
  <c r="C10" i="3"/>
  <c r="H34" i="3"/>
  <c r="F34" i="3"/>
  <c r="G34" i="3"/>
  <c r="D10" i="3"/>
  <c r="F10" i="3"/>
  <c r="G10" i="3"/>
</calcChain>
</file>

<file path=xl/sharedStrings.xml><?xml version="1.0" encoding="utf-8"?>
<sst xmlns="http://schemas.openxmlformats.org/spreadsheetml/2006/main" count="33" uniqueCount="16">
  <si>
    <t>Ejercicio 1</t>
  </si>
  <si>
    <t>Estos ejercicios los hice con un programa</t>
  </si>
  <si>
    <t>Ejercicio 2</t>
  </si>
  <si>
    <t xml:space="preserve">Ejercicio 3 </t>
  </si>
  <si>
    <t xml:space="preserve"> </t>
  </si>
  <si>
    <t>Ejercicio 3</t>
  </si>
  <si>
    <t xml:space="preserve">Método de la Secante </t>
  </si>
  <si>
    <t>Iteracción</t>
  </si>
  <si>
    <t>Xi</t>
  </si>
  <si>
    <t>f(Xi)</t>
  </si>
  <si>
    <t>f(Xi-1)</t>
  </si>
  <si>
    <t>Xi-Xi-1</t>
  </si>
  <si>
    <t>Ea(%)</t>
  </si>
  <si>
    <t>Xi-1</t>
  </si>
  <si>
    <t>Xi+1</t>
  </si>
  <si>
    <t>Ea%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</si>
</sst>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2" fontId="0" fillId="0" borderId="1" xfId="0" applyNumberFormat="1" applyBorder="1"/>
    <xf numFmtId="0" fontId="0" fillId="2" borderId="1" xfId="0" applyFill="1" applyBorder="1"/>
    <xf numFmtId="164" fontId="0" fillId="2" borderId="1" xfId="1" applyNumberFormat="1" applyFont="1" applyFill="1" applyBorder="1"/>
    <xf numFmtId="2" fontId="0" fillId="2" borderId="1" xfId="0" applyNumberFormat="1" applyFill="1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9525</xdr:rowOff>
    </xdr:from>
    <xdr:to>
      <xdr:col>7</xdr:col>
      <xdr:colOff>38100</xdr:colOff>
      <xdr:row>30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35837F-8D22-F01F-5FCD-319A92F4A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81025"/>
          <a:ext cx="3695700" cy="514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9525</xdr:colOff>
      <xdr:row>39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998B1A-4D29-C224-8DC0-1BD4FC7179E0}"/>
            </a:ext>
            <a:ext uri="{147F2762-F138-4A5C-976F-8EAC2B608ADB}">
              <a16:predDERef xmlns:a16="http://schemas.microsoft.com/office/drawing/2014/main" pred="{DC35837F-8D22-F01F-5FCD-319A92F4A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286500"/>
          <a:ext cx="3667125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19050</xdr:rowOff>
    </xdr:from>
    <xdr:to>
      <xdr:col>7</xdr:col>
      <xdr:colOff>0</xdr:colOff>
      <xdr:row>48</xdr:row>
      <xdr:rowOff>180975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A834D9-BC57-569F-8E43-BC315678EFD0}"/>
            </a:ext>
            <a:ext uri="{147F2762-F138-4A5C-976F-8EAC2B608ADB}">
              <a16:predDERef xmlns:a16="http://schemas.microsoft.com/office/drawing/2014/main" pred="{55998B1A-4D29-C224-8DC0-1BD4FC71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210550"/>
          <a:ext cx="3657600" cy="111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152400</xdr:rowOff>
    </xdr:from>
    <xdr:to>
      <xdr:col>7</xdr:col>
      <xdr:colOff>0</xdr:colOff>
      <xdr:row>13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BA29E9-43C4-F5A8-5936-76D2201FC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533400"/>
          <a:ext cx="3695700" cy="2066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28575</xdr:rowOff>
    </xdr:from>
    <xdr:to>
      <xdr:col>6</xdr:col>
      <xdr:colOff>571500</xdr:colOff>
      <xdr:row>28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8E8F7-89BD-2C7B-C842-C1B654CD825B}"/>
            </a:ext>
            <a:ext uri="{147F2762-F138-4A5C-976F-8EAC2B608ADB}">
              <a16:predDERef xmlns:a16="http://schemas.microsoft.com/office/drawing/2014/main" pred="{37BA29E9-43C4-F5A8-5936-76D2201FC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57575"/>
          <a:ext cx="3619500" cy="1885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9525</xdr:colOff>
      <xdr:row>40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543263-65B0-2973-5043-4AD6D4BAF21E}"/>
            </a:ext>
            <a:ext uri="{147F2762-F138-4A5C-976F-8EAC2B608ADB}">
              <a16:predDERef xmlns:a16="http://schemas.microsoft.com/office/drawing/2014/main" pred="{DCE8E8F7-89BD-2C7B-C842-C1B654CD8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096000"/>
          <a:ext cx="3667125" cy="1685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88348</xdr:colOff>
      <xdr:row>3</xdr:row>
      <xdr:rowOff>129761</xdr:rowOff>
    </xdr:from>
    <xdr:to>
      <xdr:col>7</xdr:col>
      <xdr:colOff>514048</xdr:colOff>
      <xdr:row>32</xdr:row>
      <xdr:rowOff>125882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D9BE6E-E4E0-D89E-58AE-9603F436A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10" y="704285"/>
          <a:ext cx="4054271" cy="554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2"/>
  <sheetViews>
    <sheetView topLeftCell="A31" workbookViewId="0">
      <selection activeCell="J51" sqref="J51"/>
    </sheetView>
  </sheetViews>
  <sheetFormatPr defaultRowHeight="15"/>
  <sheetData>
    <row r="2" spans="2:4">
      <c r="B2" t="s">
        <v>0</v>
      </c>
      <c r="D2" t="s">
        <v>1</v>
      </c>
    </row>
    <row r="32" spans="2:2">
      <c r="B32" t="s">
        <v>2</v>
      </c>
    </row>
    <row r="42" spans="2:2">
      <c r="B42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F936-2C52-4AD0-824B-605A6E035577}">
  <dimension ref="A1:D31"/>
  <sheetViews>
    <sheetView topLeftCell="D2" workbookViewId="0">
      <selection activeCell="D2" sqref="D2"/>
    </sheetView>
  </sheetViews>
  <sheetFormatPr defaultRowHeight="15"/>
  <sheetData>
    <row r="1" spans="1:4">
      <c r="A1" t="s">
        <v>4</v>
      </c>
    </row>
    <row r="2" spans="1:4">
      <c r="B2" t="s">
        <v>0</v>
      </c>
      <c r="D2" t="s">
        <v>1</v>
      </c>
    </row>
    <row r="17" spans="2:2">
      <c r="B17" t="s">
        <v>2</v>
      </c>
    </row>
    <row r="31" spans="2:2">
      <c r="B31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F9A2-004F-42B6-B860-E47C50D12B75}">
  <dimension ref="B2:H34"/>
  <sheetViews>
    <sheetView tabSelected="1" topLeftCell="A16" workbookViewId="0">
      <selection activeCell="K24" sqref="K24"/>
    </sheetView>
  </sheetViews>
  <sheetFormatPr defaultRowHeight="15"/>
  <cols>
    <col min="8" max="8" width="12.85546875" customWidth="1"/>
  </cols>
  <sheetData>
    <row r="2" spans="2:7">
      <c r="B2" t="s">
        <v>6</v>
      </c>
    </row>
    <row r="4" spans="2:7">
      <c r="B4" t="s">
        <v>0</v>
      </c>
    </row>
    <row r="5" spans="2:7"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2:7">
      <c r="B6" s="1">
        <v>0</v>
      </c>
      <c r="C6" s="1">
        <v>1</v>
      </c>
      <c r="D6" s="1">
        <f>EXP(-C6)-1</f>
        <v>-0.63212055882855767</v>
      </c>
      <c r="E6" s="1">
        <v>1</v>
      </c>
      <c r="F6" s="1">
        <f>0-1</f>
        <v>-1</v>
      </c>
      <c r="G6" s="1"/>
    </row>
    <row r="7" spans="2:7">
      <c r="B7" s="1">
        <v>1</v>
      </c>
      <c r="C7" s="1">
        <f>C6-((D6)*(0-E6)/(E6-(D6)))</f>
        <v>0.61269983678028206</v>
      </c>
      <c r="D7" s="1">
        <f>EXP(-C7)-C7</f>
        <v>-7.0813947873170968E-2</v>
      </c>
      <c r="E7" s="1">
        <f>D6</f>
        <v>-0.63212055882855767</v>
      </c>
      <c r="F7" s="1">
        <f>C6-(D7)</f>
        <v>1.0708139478731709</v>
      </c>
      <c r="G7" s="2">
        <f>ABS((C6-C7)/C7)</f>
        <v>0.63212055882855767</v>
      </c>
    </row>
    <row r="8" spans="2:7">
      <c r="B8" s="1">
        <v>2</v>
      </c>
      <c r="C8" s="1">
        <f>C7 - ((D7)*(C6-(C7))/((E7)-(D7)))</f>
        <v>0.5638383891610742</v>
      </c>
      <c r="D8" s="1">
        <f>EXP(-C8)-C8</f>
        <v>5.1823545073383936E-3</v>
      </c>
      <c r="E8" s="1">
        <f>D7</f>
        <v>-7.0813947873170968E-2</v>
      </c>
      <c r="F8" s="1">
        <f t="shared" ref="F8:F10" si="0">C7-(D8)</f>
        <v>0.60751748227294367</v>
      </c>
      <c r="G8" s="2">
        <f t="shared" ref="G8:G10" si="1">ABS((C7-C8)/C8)</f>
        <v>8.6658603880995042E-2</v>
      </c>
    </row>
    <row r="9" spans="2:7">
      <c r="B9" s="1">
        <v>3</v>
      </c>
      <c r="C9" s="1">
        <f t="shared" ref="C9" si="2">C8 - ((D8)*(C7-(C8))/((E8)-(D8)))</f>
        <v>0.56717035841974461</v>
      </c>
      <c r="D9" s="1">
        <f t="shared" ref="D9" si="3">EXP(-C9)-C9</f>
        <v>-4.2419242430091764E-5</v>
      </c>
      <c r="E9" s="1">
        <f t="shared" ref="E9:E10" si="4">D8</f>
        <v>5.1823545073383936E-3</v>
      </c>
      <c r="F9" s="1">
        <f t="shared" si="0"/>
        <v>0.5638808084035043</v>
      </c>
      <c r="G9" s="2">
        <f t="shared" si="1"/>
        <v>5.8747238976909382E-3</v>
      </c>
    </row>
    <row r="10" spans="2:7">
      <c r="B10" s="4">
        <v>4</v>
      </c>
      <c r="C10" s="4">
        <f>C9 - ((D9)*(C8-(C9))/((E9)-(D9)))</f>
        <v>0.56714330660496326</v>
      </c>
      <c r="D10" s="4">
        <f>EXP(-C10)-C10</f>
        <v>-2.5380166635002865E-8</v>
      </c>
      <c r="E10" s="4">
        <f t="shared" si="4"/>
        <v>-4.2419242430091764E-5</v>
      </c>
      <c r="F10" s="4">
        <f t="shared" si="0"/>
        <v>0.56717038379991125</v>
      </c>
      <c r="G10" s="5">
        <f t="shared" si="1"/>
        <v>4.7698376171079925E-5</v>
      </c>
    </row>
    <row r="16" spans="2:7">
      <c r="B16" s="7" t="s">
        <v>2</v>
      </c>
    </row>
    <row r="17" spans="2:8">
      <c r="B17" s="8" t="s">
        <v>7</v>
      </c>
      <c r="C17" s="1" t="s">
        <v>13</v>
      </c>
      <c r="D17" s="1" t="s">
        <v>8</v>
      </c>
      <c r="E17" s="1" t="s">
        <v>10</v>
      </c>
      <c r="F17" s="1" t="s">
        <v>9</v>
      </c>
      <c r="G17" s="1" t="s">
        <v>14</v>
      </c>
      <c r="H17" s="1" t="s">
        <v>15</v>
      </c>
    </row>
    <row r="18" spans="2:8">
      <c r="B18" s="1">
        <v>1</v>
      </c>
      <c r="C18" s="3">
        <v>2</v>
      </c>
      <c r="D18" s="3">
        <v>1.5</v>
      </c>
      <c r="E18" s="1">
        <f>LN(C18)</f>
        <v>0.69314718055994529</v>
      </c>
      <c r="F18" s="1">
        <f>LN(D18)</f>
        <v>0.40546510810816438</v>
      </c>
      <c r="G18" s="1">
        <f>D18-((F18*(C18-D18))/(E18-F18))</f>
        <v>0.79528958017339546</v>
      </c>
      <c r="H18" s="1"/>
    </row>
    <row r="19" spans="2:8">
      <c r="B19" s="1">
        <f>B18+1</f>
        <v>2</v>
      </c>
      <c r="C19" s="3">
        <f>D18</f>
        <v>1.5</v>
      </c>
      <c r="D19" s="1">
        <f>G18</f>
        <v>0.79528958017339546</v>
      </c>
      <c r="E19" s="1">
        <f>LN(C19)</f>
        <v>0.40546510810816438</v>
      </c>
      <c r="F19" s="1">
        <f>LN(D19)</f>
        <v>-0.22904897886094885</v>
      </c>
      <c r="G19" s="1">
        <f>D19-((F19*(C19-D19))/(E19-F19))</f>
        <v>1.0496782617942837</v>
      </c>
      <c r="H19" s="2">
        <f>ABS((D19-D18)/D19)</f>
        <v>0.88610543554834187</v>
      </c>
    </row>
    <row r="20" spans="2:8">
      <c r="B20" s="1">
        <f t="shared" ref="B20:B23" si="5">B19+1</f>
        <v>3</v>
      </c>
      <c r="C20" s="3">
        <f t="shared" ref="C20:C23" si="6">D19</f>
        <v>0.79528958017339546</v>
      </c>
      <c r="D20" s="1">
        <f t="shared" ref="D20:D23" si="7">G19</f>
        <v>1.0496782617942837</v>
      </c>
      <c r="E20" s="1">
        <f t="shared" ref="E20:F23" si="8">LN(C20)</f>
        <v>-0.22904897886094885</v>
      </c>
      <c r="F20" s="1">
        <f t="shared" si="8"/>
        <v>4.8483699875269612E-2</v>
      </c>
      <c r="G20" s="1">
        <f t="shared" ref="G20:G23" si="9">D20-((F20*(C20-D20))/(E20-F20))</f>
        <v>1.0052377132162358</v>
      </c>
      <c r="H20" s="2">
        <f t="shared" ref="H20:H23" si="10">ABS((D20-D19)/D20)</f>
        <v>0.24234919487238407</v>
      </c>
    </row>
    <row r="21" spans="2:8">
      <c r="B21" s="1">
        <f t="shared" si="5"/>
        <v>4</v>
      </c>
      <c r="C21" s="3">
        <f t="shared" si="6"/>
        <v>1.0496782617942837</v>
      </c>
      <c r="D21" s="1">
        <f t="shared" si="7"/>
        <v>1.0052377132162358</v>
      </c>
      <c r="E21" s="1">
        <f t="shared" si="8"/>
        <v>4.8483699875269612E-2</v>
      </c>
      <c r="F21" s="1">
        <f t="shared" si="8"/>
        <v>5.2240441055143019E-3</v>
      </c>
      <c r="G21" s="1">
        <f t="shared" si="9"/>
        <v>0.99987106427476902</v>
      </c>
      <c r="H21" s="2">
        <f t="shared" si="10"/>
        <v>4.4208994543053264E-2</v>
      </c>
    </row>
    <row r="22" spans="2:8">
      <c r="B22" s="1">
        <f t="shared" si="5"/>
        <v>5</v>
      </c>
      <c r="C22" s="3">
        <f t="shared" si="6"/>
        <v>1.0052377132162358</v>
      </c>
      <c r="D22" s="1">
        <f t="shared" si="7"/>
        <v>0.99987106427476902</v>
      </c>
      <c r="E22" s="1">
        <f>LN(C22)</f>
        <v>5.2240441055143019E-3</v>
      </c>
      <c r="F22" s="1">
        <f t="shared" si="8"/>
        <v>-1.2894403815616652E-4</v>
      </c>
      <c r="G22" s="1">
        <f t="shared" si="9"/>
        <v>1.0000003373774373</v>
      </c>
      <c r="H22" s="2">
        <f t="shared" si="10"/>
        <v>5.3673409834690327E-3</v>
      </c>
    </row>
    <row r="23" spans="2:8">
      <c r="B23" s="4">
        <f t="shared" si="5"/>
        <v>6</v>
      </c>
      <c r="C23" s="6">
        <f t="shared" si="6"/>
        <v>0.99987106427476902</v>
      </c>
      <c r="D23" s="4">
        <f t="shared" si="7"/>
        <v>1.0000003373774373</v>
      </c>
      <c r="E23" s="4">
        <f t="shared" si="8"/>
        <v>-1.2894403815616652E-4</v>
      </c>
      <c r="F23" s="4">
        <f t="shared" si="8"/>
        <v>3.3737738040878588E-7</v>
      </c>
      <c r="G23" s="4">
        <f t="shared" si="9"/>
        <v>1.0000000000217504</v>
      </c>
      <c r="H23" s="5">
        <f t="shared" si="10"/>
        <v>1.2927305905449023E-4</v>
      </c>
    </row>
    <row r="26" spans="2:8">
      <c r="B26" t="s">
        <v>5</v>
      </c>
    </row>
    <row r="27" spans="2:8">
      <c r="B27" s="1" t="s">
        <v>7</v>
      </c>
      <c r="C27" s="1" t="s">
        <v>13</v>
      </c>
      <c r="D27" s="1" t="s">
        <v>8</v>
      </c>
      <c r="E27" s="1" t="s">
        <v>10</v>
      </c>
      <c r="F27" s="1" t="s">
        <v>9</v>
      </c>
      <c r="G27" s="1" t="s">
        <v>14</v>
      </c>
      <c r="H27" s="1" t="s">
        <v>15</v>
      </c>
    </row>
    <row r="28" spans="2:8">
      <c r="B28" s="1">
        <v>1</v>
      </c>
      <c r="C28" s="1">
        <v>0</v>
      </c>
      <c r="D28" s="1">
        <v>1</v>
      </c>
      <c r="E28" s="1">
        <f>(1/2*(COS(C28)))-(C28)^2</f>
        <v>0.5</v>
      </c>
      <c r="F28" s="1">
        <f>(1/2*(COS(D28)))-(D28)^2</f>
        <v>-0.72984884706593012</v>
      </c>
      <c r="G28" s="1">
        <f>D28-((F28*(C28-D28))/(E28-F28))</f>
        <v>0.40655402588119505</v>
      </c>
      <c r="H28" s="1"/>
    </row>
    <row r="29" spans="2:8">
      <c r="B29" s="1">
        <f>B28+1</f>
        <v>2</v>
      </c>
      <c r="C29" s="1">
        <f>D28</f>
        <v>1</v>
      </c>
      <c r="D29" s="1">
        <f>G28</f>
        <v>0.40655402588119505</v>
      </c>
      <c r="E29" s="1">
        <f>(1/2*(COS(C29)))-(C29)^2</f>
        <v>-0.72984884706593012</v>
      </c>
      <c r="F29" s="1">
        <f>(1/2*(COS(D29)))-(D29)^2</f>
        <v>0.29395831016311946</v>
      </c>
      <c r="G29" s="1">
        <f>D29-((F29*(C29-D29))/(E29-F29))</f>
        <v>0.5769458565040807</v>
      </c>
      <c r="H29" s="2">
        <f>ABS((D29-D28)/D29)</f>
        <v>1.45969769413186</v>
      </c>
    </row>
    <row r="30" spans="2:8">
      <c r="B30" s="1">
        <f t="shared" ref="B30:B34" si="11">B29+1</f>
        <v>3</v>
      </c>
      <c r="C30" s="1">
        <f t="shared" ref="C30:C34" si="12">D29</f>
        <v>0.40655402588119505</v>
      </c>
      <c r="D30" s="1">
        <f t="shared" ref="D30:D34" si="13">G29</f>
        <v>0.5769458565040807</v>
      </c>
      <c r="E30" s="1">
        <f t="shared" ref="E30:F34" si="14">(1/2*(COS(C30)))-(C30)^2</f>
        <v>0.29395831016311946</v>
      </c>
      <c r="F30" s="1">
        <f t="shared" si="14"/>
        <v>8.6199723604428902E-2</v>
      </c>
      <c r="G30" s="1">
        <f t="shared" ref="G30:G34" si="15">D30-((F30*(C30-D30))/(E30-F30))</f>
        <v>0.64764198968169173</v>
      </c>
      <c r="H30" s="2">
        <f t="shared" ref="H30:H34" si="16">ABS((D30-D29)/D30)</f>
        <v>0.29533417859233813</v>
      </c>
    </row>
    <row r="31" spans="2:8">
      <c r="B31" s="1">
        <f t="shared" si="11"/>
        <v>4</v>
      </c>
      <c r="C31" s="1">
        <f t="shared" si="12"/>
        <v>0.5769458565040807</v>
      </c>
      <c r="D31" s="1">
        <f t="shared" si="13"/>
        <v>0.64764198968169173</v>
      </c>
      <c r="E31" s="1">
        <f t="shared" si="14"/>
        <v>8.6199723604428902E-2</v>
      </c>
      <c r="F31" s="1">
        <f t="shared" si="14"/>
        <v>-2.0685836889229481E-2</v>
      </c>
      <c r="G31" s="1">
        <f t="shared" si="15"/>
        <v>0.63395998555637234</v>
      </c>
      <c r="H31" s="2">
        <f t="shared" si="16"/>
        <v>0.1091592798242704</v>
      </c>
    </row>
    <row r="32" spans="2:8">
      <c r="B32" s="1">
        <f t="shared" si="11"/>
        <v>5</v>
      </c>
      <c r="C32" s="1">
        <f t="shared" si="12"/>
        <v>0.64764198968169173</v>
      </c>
      <c r="D32" s="1">
        <f t="shared" si="13"/>
        <v>0.63395998555637234</v>
      </c>
      <c r="E32" s="1">
        <f t="shared" si="14"/>
        <v>-2.0685836889229481E-2</v>
      </c>
      <c r="F32" s="1">
        <f t="shared" si="14"/>
        <v>9.3882378835835611E-4</v>
      </c>
      <c r="G32" s="1">
        <f t="shared" si="15"/>
        <v>0.63455398289749965</v>
      </c>
      <c r="H32" s="2">
        <f t="shared" si="16"/>
        <v>2.1581810267270841E-2</v>
      </c>
    </row>
    <row r="33" spans="2:8">
      <c r="B33" s="1">
        <f t="shared" si="11"/>
        <v>6</v>
      </c>
      <c r="C33" s="1">
        <f t="shared" si="12"/>
        <v>0.63395998555637234</v>
      </c>
      <c r="D33" s="1">
        <f t="shared" si="13"/>
        <v>0.63455398289749965</v>
      </c>
      <c r="E33" s="1">
        <f t="shared" si="14"/>
        <v>9.3882378835835611E-4</v>
      </c>
      <c r="F33" s="1">
        <f t="shared" si="14"/>
        <v>9.3346408956418436E-6</v>
      </c>
      <c r="G33" s="1">
        <f t="shared" si="15"/>
        <v>0.6345599482730907</v>
      </c>
      <c r="H33" s="2">
        <f t="shared" si="16"/>
        <v>9.3608638057080017E-4</v>
      </c>
    </row>
    <row r="34" spans="2:8">
      <c r="B34" s="4">
        <f t="shared" si="11"/>
        <v>7</v>
      </c>
      <c r="C34" s="4">
        <f t="shared" si="12"/>
        <v>0.63455398289749965</v>
      </c>
      <c r="D34" s="4">
        <f t="shared" si="13"/>
        <v>0.6345599482730907</v>
      </c>
      <c r="E34" s="4">
        <f t="shared" si="14"/>
        <v>9.3346408956418436E-6</v>
      </c>
      <c r="F34" s="4">
        <f t="shared" si="14"/>
        <v>-4.2996820548424353E-9</v>
      </c>
      <c r="G34" s="4">
        <f t="shared" si="15"/>
        <v>0.63455994552661021</v>
      </c>
      <c r="H34" s="5">
        <f t="shared" si="16"/>
        <v>9.4008069801588688E-6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8BCC-04BA-4A45-87FB-C68052747001}">
  <dimension ref="A1"/>
  <sheetViews>
    <sheetView topLeftCell="B17" zoomScaleNormal="60" zoomScaleSheetLayoutView="100" workbookViewId="0">
      <selection activeCell="B2" sqref="B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Javier Urbina Mejia</cp:lastModifiedBy>
  <cp:revision/>
  <dcterms:created xsi:type="dcterms:W3CDTF">2023-04-21T02:31:50Z</dcterms:created>
  <dcterms:modified xsi:type="dcterms:W3CDTF">2023-05-12T04:24:13Z</dcterms:modified>
  <cp:category/>
  <cp:contentStatus/>
</cp:coreProperties>
</file>