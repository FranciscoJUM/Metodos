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2"/>
  <workbookPr defaultThemeVersion="166925"/>
  <xr:revisionPtr revIDLastSave="94" documentId="11_9248B46DC1CBB2E3ED7FF6F9903E8C1851038383" xr6:coauthVersionLast="47" xr6:coauthVersionMax="47" xr10:uidLastSave="{0D2A3CCA-0DA4-4CFA-A3DF-6566F1D73EE8}"/>
  <bookViews>
    <workbookView xWindow="240" yWindow="105" windowWidth="14805" windowHeight="8010" xr2:uid="{00000000-000D-0000-FFFF-FFFF00000000}"/>
  </bookViews>
  <sheets>
    <sheet name="Regla fals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H9" i="1" s="1"/>
  <c r="E9" i="1"/>
  <c r="F4" i="1"/>
  <c r="G4" i="1"/>
  <c r="H4" i="1" s="1"/>
  <c r="I4" i="1" s="1"/>
  <c r="E10" i="1" l="1"/>
  <c r="G9" i="1"/>
  <c r="I9" i="1" s="1"/>
  <c r="F10" i="1" l="1"/>
  <c r="H10" i="1" s="1"/>
  <c r="J9" i="1"/>
  <c r="E11" i="1"/>
  <c r="G10" i="1"/>
  <c r="I10" i="1" s="1"/>
  <c r="F11" i="1" l="1"/>
  <c r="H11" i="1" s="1"/>
  <c r="J10" i="1"/>
  <c r="G11" i="1"/>
  <c r="I11" i="1"/>
  <c r="E12" i="1"/>
  <c r="G12" i="1" l="1"/>
  <c r="E13" i="1"/>
  <c r="J11" i="1"/>
  <c r="F12" i="1"/>
  <c r="H12" i="1" l="1"/>
  <c r="I12" i="1"/>
  <c r="G13" i="1"/>
  <c r="E14" i="1"/>
  <c r="G14" i="1" l="1"/>
  <c r="E15" i="1"/>
  <c r="J12" i="1"/>
  <c r="F13" i="1"/>
  <c r="H13" i="1" l="1"/>
  <c r="I13" i="1"/>
  <c r="G15" i="1"/>
  <c r="E16" i="1"/>
  <c r="G16" i="1" l="1"/>
  <c r="E17" i="1"/>
  <c r="J13" i="1"/>
  <c r="F14" i="1"/>
  <c r="H14" i="1" l="1"/>
  <c r="I14" i="1"/>
  <c r="G17" i="1"/>
  <c r="E18" i="1"/>
  <c r="E19" i="1" l="1"/>
  <c r="G18" i="1"/>
  <c r="J14" i="1"/>
  <c r="F15" i="1"/>
  <c r="H15" i="1" l="1"/>
  <c r="I15" i="1"/>
  <c r="G19" i="1"/>
  <c r="J15" i="1" l="1"/>
  <c r="F16" i="1"/>
  <c r="H16" i="1" l="1"/>
  <c r="I16" i="1"/>
  <c r="J16" i="1" l="1"/>
  <c r="F17" i="1"/>
  <c r="H17" i="1" l="1"/>
  <c r="I17" i="1"/>
  <c r="J17" i="1" l="1"/>
  <c r="F18" i="1"/>
  <c r="H18" i="1" l="1"/>
  <c r="I18" i="1"/>
  <c r="F19" i="1" l="1"/>
  <c r="J18" i="1"/>
  <c r="H19" i="1" l="1"/>
  <c r="I19" i="1"/>
  <c r="J19" i="1" s="1"/>
</calcChain>
</file>

<file path=xl/sharedStrings.xml><?xml version="1.0" encoding="utf-8"?>
<sst xmlns="http://schemas.openxmlformats.org/spreadsheetml/2006/main" count="18" uniqueCount="14">
  <si>
    <t>Ecuacion:</t>
  </si>
  <si>
    <t xml:space="preserve">INTERVALOS </t>
  </si>
  <si>
    <t>Evaluacion</t>
  </si>
  <si>
    <t>Verificar  raiz</t>
  </si>
  <si>
    <t>f(x)=2x^2+x+3</t>
  </si>
  <si>
    <t>A</t>
  </si>
  <si>
    <t>B</t>
  </si>
  <si>
    <t>f(A)</t>
  </si>
  <si>
    <t>f(B)</t>
  </si>
  <si>
    <t>f(A)*f(B)</t>
  </si>
  <si>
    <t>Existe?</t>
  </si>
  <si>
    <t>Iteracion</t>
  </si>
  <si>
    <t>Xr</t>
  </si>
  <si>
    <t>f(Xr)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</si>
</sst>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ED7D31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1" fillId="3" borderId="4" xfId="0" applyFont="1" applyFill="1" applyBorder="1"/>
    <xf numFmtId="0" fontId="0" fillId="3" borderId="5" xfId="0" applyFill="1" applyBorder="1"/>
    <xf numFmtId="0" fontId="2" fillId="3" borderId="4" xfId="0" applyFont="1" applyFill="1" applyBorder="1"/>
    <xf numFmtId="0" fontId="0" fillId="3" borderId="6" xfId="0" applyFill="1" applyBorder="1"/>
    <xf numFmtId="0" fontId="0" fillId="2" borderId="0" xfId="0" applyFill="1"/>
    <xf numFmtId="0" fontId="0" fillId="4" borderId="7" xfId="0" applyFill="1" applyBorder="1"/>
    <xf numFmtId="0" fontId="1" fillId="5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9"/>
  <sheetViews>
    <sheetView tabSelected="1" workbookViewId="0">
      <selection activeCell="E5" sqref="E5"/>
    </sheetView>
  </sheetViews>
  <sheetFormatPr defaultRowHeight="15"/>
  <sheetData>
    <row r="2" spans="1:10">
      <c r="A2" s="1" t="s">
        <v>0</v>
      </c>
      <c r="B2" s="2"/>
      <c r="C2" s="2"/>
      <c r="D2" s="4" t="s">
        <v>1</v>
      </c>
      <c r="E2" s="5"/>
      <c r="F2" s="6" t="s">
        <v>2</v>
      </c>
      <c r="G2" s="5"/>
      <c r="H2" s="4" t="s">
        <v>3</v>
      </c>
      <c r="I2" s="7"/>
    </row>
    <row r="3" spans="1:10">
      <c r="A3" s="8" t="s">
        <v>4</v>
      </c>
      <c r="B3" s="8"/>
      <c r="C3" s="8"/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</row>
    <row r="4" spans="1:10">
      <c r="D4" s="3">
        <v>2</v>
      </c>
      <c r="E4" s="3">
        <v>3</v>
      </c>
      <c r="F4" s="3">
        <f>2*POWER(D4,2)+D4+E4</f>
        <v>13</v>
      </c>
      <c r="G4" s="3">
        <f>2*POWER(E4,2)+E4+3</f>
        <v>24</v>
      </c>
      <c r="H4" s="3">
        <f>F4*G4</f>
        <v>312</v>
      </c>
      <c r="I4" s="3" t="str">
        <f>IF(H4&lt;0,"SI","No")</f>
        <v>No</v>
      </c>
    </row>
    <row r="5" spans="1:10">
      <c r="F5" s="3"/>
    </row>
    <row r="6" spans="1:10">
      <c r="F6" s="3"/>
    </row>
    <row r="8" spans="1:10">
      <c r="D8" s="10" t="s">
        <v>11</v>
      </c>
      <c r="E8" s="10" t="s">
        <v>5</v>
      </c>
      <c r="F8" s="10" t="s">
        <v>6</v>
      </c>
      <c r="G8" s="10" t="s">
        <v>7</v>
      </c>
      <c r="H8" s="10" t="s">
        <v>8</v>
      </c>
      <c r="I8" s="10" t="s">
        <v>12</v>
      </c>
      <c r="J8" s="10" t="s">
        <v>13</v>
      </c>
    </row>
    <row r="9" spans="1:10">
      <c r="D9">
        <v>0</v>
      </c>
      <c r="E9">
        <f>D4</f>
        <v>2</v>
      </c>
      <c r="F9">
        <f>E4</f>
        <v>3</v>
      </c>
      <c r="G9" s="3">
        <f>2*POWER(E9,2)+E9+3</f>
        <v>13</v>
      </c>
      <c r="H9">
        <f>2*POWER(F9,2)+F9+3</f>
        <v>24</v>
      </c>
      <c r="I9">
        <f>E9-((G9*(F9-E9))/(H9-G9))</f>
        <v>0.81818181818181812</v>
      </c>
      <c r="J9">
        <f>2*POWER(I9,2)+I9+3</f>
        <v>5.1570247933884295</v>
      </c>
    </row>
    <row r="10" spans="1:10">
      <c r="D10">
        <v>1</v>
      </c>
      <c r="E10">
        <f>E9</f>
        <v>2</v>
      </c>
      <c r="F10">
        <f>I9</f>
        <v>0.81818181818181812</v>
      </c>
      <c r="G10">
        <f>2*POWER(E10,2)+E10+3</f>
        <v>13</v>
      </c>
      <c r="H10">
        <f>2*POWER(F10,2)+F10+3</f>
        <v>5.1570247933884295</v>
      </c>
      <c r="I10">
        <f>E10-((G10*(F10-E10))/(H10-G10))</f>
        <v>4.1095890410958846E-2</v>
      </c>
      <c r="J10">
        <f>2*POWER(I10,2)+I10+3</f>
        <v>3.0444736348282979</v>
      </c>
    </row>
    <row r="11" spans="1:10">
      <c r="D11">
        <v>2</v>
      </c>
      <c r="E11">
        <f t="shared" ref="E11:E18" si="0">E10</f>
        <v>2</v>
      </c>
      <c r="F11">
        <f t="shared" ref="F11:F18" si="1">I10</f>
        <v>4.1095890410958846E-2</v>
      </c>
      <c r="G11">
        <f t="shared" ref="G11:G18" si="2">2*POWER(E11,2)+E11+3</f>
        <v>13</v>
      </c>
      <c r="H11">
        <f t="shared" ref="H11:H18" si="3">2*POWER(F11,2)+F11+3</f>
        <v>3.0444736348282979</v>
      </c>
      <c r="I11">
        <f t="shared" ref="I11:I18" si="4">E11-((G11*(F11-E11))/(H11-G11))</f>
        <v>-0.55795148247978466</v>
      </c>
      <c r="J11">
        <f t="shared" ref="J11:J19" si="5">2*POWER(I11,2)+I11+3</f>
        <v>3.0646682311229942</v>
      </c>
    </row>
    <row r="12" spans="1:10">
      <c r="D12">
        <v>3</v>
      </c>
      <c r="E12">
        <f t="shared" si="0"/>
        <v>2</v>
      </c>
      <c r="F12">
        <f t="shared" si="1"/>
        <v>-0.55795148247978466</v>
      </c>
      <c r="G12">
        <f t="shared" si="2"/>
        <v>13</v>
      </c>
      <c r="H12">
        <f t="shared" si="3"/>
        <v>3.0646682311229942</v>
      </c>
      <c r="I12">
        <f t="shared" si="4"/>
        <v>-1.3469812630117977</v>
      </c>
      <c r="J12">
        <f t="shared" si="5"/>
        <v>5.2817357827979174</v>
      </c>
    </row>
    <row r="13" spans="1:10">
      <c r="D13">
        <v>4</v>
      </c>
      <c r="E13">
        <f t="shared" si="0"/>
        <v>2</v>
      </c>
      <c r="F13">
        <f t="shared" si="1"/>
        <v>-1.3469812630117977</v>
      </c>
      <c r="G13">
        <f t="shared" si="2"/>
        <v>13</v>
      </c>
      <c r="H13">
        <f t="shared" si="3"/>
        <v>5.2817357827979174</v>
      </c>
      <c r="I13">
        <f t="shared" si="4"/>
        <v>-3.6373758651820651</v>
      </c>
      <c r="J13">
        <f t="shared" si="5"/>
        <v>25.82363050403589</v>
      </c>
    </row>
    <row r="14" spans="1:10">
      <c r="D14">
        <v>5</v>
      </c>
      <c r="E14">
        <f t="shared" si="0"/>
        <v>2</v>
      </c>
      <c r="F14">
        <f t="shared" si="1"/>
        <v>-3.6373758651820651</v>
      </c>
      <c r="G14">
        <f t="shared" si="2"/>
        <v>13</v>
      </c>
      <c r="H14">
        <f t="shared" si="3"/>
        <v>25.82363050403589</v>
      </c>
      <c r="I14">
        <f t="shared" si="4"/>
        <v>7.7149093795475547</v>
      </c>
      <c r="J14">
        <f t="shared" si="5"/>
        <v>129.7545628488092</v>
      </c>
    </row>
    <row r="15" spans="1:10">
      <c r="D15">
        <v>6</v>
      </c>
      <c r="E15">
        <f t="shared" si="0"/>
        <v>2</v>
      </c>
      <c r="F15">
        <f t="shared" si="1"/>
        <v>7.7149093795475547</v>
      </c>
      <c r="G15">
        <f t="shared" si="2"/>
        <v>13</v>
      </c>
      <c r="H15">
        <f t="shared" si="3"/>
        <v>129.7545628488092</v>
      </c>
      <c r="I15">
        <f t="shared" si="4"/>
        <v>1.3636752164425072</v>
      </c>
      <c r="J15">
        <f t="shared" si="5"/>
        <v>8.0828954083215443</v>
      </c>
    </row>
    <row r="16" spans="1:10">
      <c r="D16">
        <v>7</v>
      </c>
      <c r="E16">
        <f t="shared" si="0"/>
        <v>2</v>
      </c>
      <c r="F16">
        <f t="shared" si="1"/>
        <v>1.3636752164425072</v>
      </c>
      <c r="G16">
        <f t="shared" si="2"/>
        <v>13</v>
      </c>
      <c r="H16">
        <f t="shared" si="3"/>
        <v>8.0828954083215443</v>
      </c>
      <c r="I16">
        <f t="shared" si="4"/>
        <v>0.3176639764289253</v>
      </c>
      <c r="J16">
        <f t="shared" si="5"/>
        <v>3.519484780270199</v>
      </c>
    </row>
    <row r="17" spans="4:10">
      <c r="D17">
        <v>8</v>
      </c>
      <c r="E17">
        <f t="shared" si="0"/>
        <v>2</v>
      </c>
      <c r="F17">
        <f t="shared" si="1"/>
        <v>0.3176639764289253</v>
      </c>
      <c r="G17">
        <f t="shared" si="2"/>
        <v>13</v>
      </c>
      <c r="H17">
        <f t="shared" si="3"/>
        <v>3.519484780270199</v>
      </c>
      <c r="I17">
        <f t="shared" si="4"/>
        <v>-0.30687550196742208</v>
      </c>
      <c r="J17">
        <f t="shared" si="5"/>
        <v>2.8814696454480924</v>
      </c>
    </row>
    <row r="18" spans="4:10">
      <c r="D18">
        <v>9</v>
      </c>
      <c r="E18">
        <f t="shared" si="0"/>
        <v>2</v>
      </c>
      <c r="F18">
        <f t="shared" si="1"/>
        <v>-0.30687550196742208</v>
      </c>
      <c r="G18">
        <f t="shared" si="2"/>
        <v>13</v>
      </c>
      <c r="H18">
        <f t="shared" si="3"/>
        <v>2.8814696454480924</v>
      </c>
      <c r="I18">
        <f t="shared" si="4"/>
        <v>-0.96380803088518752</v>
      </c>
      <c r="J18">
        <f t="shared" si="5"/>
        <v>3.8940438099123775</v>
      </c>
    </row>
    <row r="19" spans="4:10">
      <c r="D19">
        <v>10</v>
      </c>
      <c r="E19">
        <f t="shared" ref="E19" si="6">E18</f>
        <v>2</v>
      </c>
      <c r="F19">
        <f t="shared" ref="F19" si="7">I18</f>
        <v>-0.96380803088518752</v>
      </c>
      <c r="G19">
        <f t="shared" ref="G19" si="8">2*POWER(E19,2)+E19+3</f>
        <v>13</v>
      </c>
      <c r="H19">
        <f t="shared" ref="H19" si="9">2*POWER(F19,2)+F19+3</f>
        <v>3.8940438099123775</v>
      </c>
      <c r="I19">
        <f t="shared" ref="I19" si="10">E19-((G19*(F19-E19))/(H19-G19))</f>
        <v>-2.2312420131615731</v>
      </c>
      <c r="J19">
        <f t="shared" si="5"/>
        <v>10.725639829433046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Javier Urbina Mejia</cp:lastModifiedBy>
  <cp:revision/>
  <dcterms:created xsi:type="dcterms:W3CDTF">2023-05-12T03:52:36Z</dcterms:created>
  <dcterms:modified xsi:type="dcterms:W3CDTF">2023-05-12T04:24:51Z</dcterms:modified>
  <cp:category/>
  <cp:contentStatus/>
</cp:coreProperties>
</file>